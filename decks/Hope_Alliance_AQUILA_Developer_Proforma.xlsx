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quilacommercial-my.sharepoint.com/personal/wyatt_aquilacommercial_com/Documents/Q Users Will/Hope Alliance/"/>
    </mc:Choice>
  </mc:AlternateContent>
  <xr:revisionPtr revIDLastSave="0" documentId="8_{0519D7C5-1A24-49D5-8EC5-FA2C13EDA52D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Summary" sheetId="1" r:id="rId1"/>
    <sheet name="Assumptions" sheetId="2" r:id="rId2"/>
    <sheet name="Lease Credits" sheetId="3" r:id="rId3"/>
    <sheet name="Purchase Options" sheetId="4" r:id="rId4"/>
    <sheet name="Outside Sale" sheetId="5" r:id="rId5"/>
    <sheet name="Sources &amp;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D27" i="1" s="1"/>
  <c r="D6" i="5"/>
  <c r="D26" i="1" s="1"/>
  <c r="D5" i="5"/>
  <c r="D25" i="1" s="1"/>
  <c r="B7" i="4"/>
  <c r="J6" i="4"/>
  <c r="B6" i="4"/>
  <c r="J5" i="4"/>
  <c r="B5" i="4"/>
  <c r="D11" i="3"/>
  <c r="D10" i="3"/>
  <c r="D9" i="3"/>
  <c r="D8" i="3"/>
  <c r="D7" i="3"/>
  <c r="D6" i="3"/>
  <c r="D5" i="3"/>
  <c r="B17" i="2"/>
  <c r="B13" i="1" s="1"/>
  <c r="B15" i="2"/>
  <c r="B11" i="2"/>
  <c r="A27" i="1"/>
  <c r="A26" i="1"/>
  <c r="A25" i="1"/>
  <c r="A20" i="1"/>
  <c r="A19" i="1"/>
  <c r="A18" i="1"/>
  <c r="B12" i="1"/>
  <c r="B10" i="1"/>
  <c r="B9" i="1"/>
  <c r="B7" i="1"/>
  <c r="B6" i="1"/>
  <c r="B5" i="1"/>
  <c r="B20" i="1" l="1"/>
  <c r="B19" i="1"/>
  <c r="B18" i="1"/>
  <c r="J5" i="5"/>
  <c r="J6" i="5"/>
  <c r="J7" i="5"/>
  <c r="J7" i="4"/>
  <c r="B11" i="1"/>
  <c r="B5" i="3"/>
  <c r="B13" i="2"/>
  <c r="B12" i="2"/>
  <c r="B8" i="1"/>
  <c r="C5" i="3" l="1"/>
  <c r="E5" i="3"/>
  <c r="G5" i="3"/>
  <c r="B6" i="3"/>
  <c r="F5" i="3" l="1"/>
  <c r="F6" i="3"/>
  <c r="K5" i="4"/>
  <c r="K7" i="4"/>
  <c r="K5" i="5"/>
  <c r="K6" i="4"/>
  <c r="K6" i="5"/>
  <c r="K7" i="5"/>
  <c r="C6" i="3"/>
  <c r="E6" i="3"/>
  <c r="B7" i="3"/>
  <c r="G6" i="3"/>
  <c r="C7" i="3" l="1"/>
  <c r="E7" i="3"/>
  <c r="G7" i="3"/>
  <c r="B8" i="3"/>
  <c r="L5" i="4"/>
  <c r="L6" i="5"/>
  <c r="L7" i="5"/>
  <c r="L7" i="4"/>
  <c r="L5" i="5"/>
  <c r="L6" i="4"/>
  <c r="M7" i="4" l="1"/>
  <c r="M6" i="5"/>
  <c r="M5" i="5"/>
  <c r="M6" i="4"/>
  <c r="M7" i="5"/>
  <c r="C8" i="3"/>
  <c r="E8" i="3"/>
  <c r="G8" i="3"/>
  <c r="B9" i="3"/>
  <c r="F7" i="3"/>
  <c r="C5" i="4" s="1"/>
  <c r="F5" i="4"/>
  <c r="F18" i="1" s="1"/>
  <c r="N5" i="5" l="1"/>
  <c r="N7" i="5"/>
  <c r="N7" i="4"/>
  <c r="N6" i="4"/>
  <c r="N6" i="5"/>
  <c r="C9" i="3"/>
  <c r="E9" i="3"/>
  <c r="G9" i="3"/>
  <c r="B10" i="3"/>
  <c r="D5" i="4"/>
  <c r="C18" i="1"/>
  <c r="F8" i="3"/>
  <c r="F6" i="4"/>
  <c r="F19" i="1" s="1"/>
  <c r="O7" i="4" l="1"/>
  <c r="O7" i="5"/>
  <c r="O5" i="5"/>
  <c r="O6" i="5"/>
  <c r="C10" i="3"/>
  <c r="G10" i="3"/>
  <c r="B11" i="3"/>
  <c r="E10" i="3"/>
  <c r="D18" i="1"/>
  <c r="E5" i="4"/>
  <c r="F9" i="3"/>
  <c r="C6" i="4" s="1"/>
  <c r="F10" i="3"/>
  <c r="P7" i="4" l="1"/>
  <c r="P5" i="5"/>
  <c r="P7" i="5"/>
  <c r="P6" i="5"/>
  <c r="E11" i="3"/>
  <c r="F11" i="3" s="1"/>
  <c r="C7" i="4" s="1"/>
  <c r="B5" i="5"/>
  <c r="C11" i="3"/>
  <c r="B6" i="5"/>
  <c r="B7" i="5"/>
  <c r="G11" i="3"/>
  <c r="M5" i="4"/>
  <c r="I5" i="4" s="1"/>
  <c r="I18" i="1" s="1"/>
  <c r="E18" i="1"/>
  <c r="G5" i="4"/>
  <c r="G18" i="1" s="1"/>
  <c r="H5" i="4"/>
  <c r="H18" i="1" s="1"/>
  <c r="C19" i="1"/>
  <c r="D6" i="4"/>
  <c r="D7" i="4" l="1"/>
  <c r="C20" i="1"/>
  <c r="C5" i="5"/>
  <c r="B25" i="1"/>
  <c r="B26" i="1"/>
  <c r="C6" i="5"/>
  <c r="C7" i="5"/>
  <c r="B27" i="1"/>
  <c r="F7" i="4"/>
  <c r="F20" i="1" s="1"/>
  <c r="F6" i="5"/>
  <c r="F26" i="1" s="1"/>
  <c r="F5" i="5"/>
  <c r="F25" i="1" s="1"/>
  <c r="F7" i="5"/>
  <c r="F27" i="1" s="1"/>
  <c r="E6" i="4"/>
  <c r="D19" i="1"/>
  <c r="D20" i="1" l="1"/>
  <c r="E7" i="4"/>
  <c r="E5" i="5"/>
  <c r="C25" i="1"/>
  <c r="E6" i="5"/>
  <c r="C26" i="1"/>
  <c r="C27" i="1"/>
  <c r="E7" i="5"/>
  <c r="O6" i="4"/>
  <c r="I6" i="4" s="1"/>
  <c r="I19" i="1" s="1"/>
  <c r="G6" i="4"/>
  <c r="G19" i="1" s="1"/>
  <c r="H6" i="4"/>
  <c r="H19" i="1" s="1"/>
  <c r="E19" i="1"/>
  <c r="Q7" i="4" l="1"/>
  <c r="I7" i="4" s="1"/>
  <c r="I20" i="1" s="1"/>
  <c r="G7" i="4"/>
  <c r="G20" i="1" s="1"/>
  <c r="H7" i="4"/>
  <c r="H20" i="1" s="1"/>
  <c r="E20" i="1"/>
  <c r="Q5" i="5"/>
  <c r="I5" i="5" s="1"/>
  <c r="I25" i="1" s="1"/>
  <c r="H5" i="5"/>
  <c r="H25" i="1" s="1"/>
  <c r="E25" i="1"/>
  <c r="G5" i="5"/>
  <c r="G25" i="1" s="1"/>
  <c r="Q6" i="5"/>
  <c r="I6" i="5" s="1"/>
  <c r="I26" i="1" s="1"/>
  <c r="H6" i="5"/>
  <c r="H26" i="1" s="1"/>
  <c r="E26" i="1"/>
  <c r="G6" i="5"/>
  <c r="G26" i="1" s="1"/>
  <c r="Q7" i="5"/>
  <c r="I7" i="5" s="1"/>
  <c r="I27" i="1" s="1"/>
  <c r="H7" i="5"/>
  <c r="H27" i="1" s="1"/>
  <c r="E27" i="1"/>
  <c r="G7" i="5"/>
  <c r="G27" i="1" s="1"/>
</calcChain>
</file>

<file path=xl/sharedStrings.xml><?xml version="1.0" encoding="utf-8"?>
<sst xmlns="http://schemas.openxmlformats.org/spreadsheetml/2006/main" count="220" uniqueCount="154">
  <si>
    <t>Developer Pro Forma Summary</t>
  </si>
  <si>
    <t>AQUILA / Hope Alliance lease-purchase option economics based on $16M all-in cost and 9% initial yield.</t>
  </si>
  <si>
    <t>Key Assumption</t>
  </si>
  <si>
    <t>Value</t>
  </si>
  <si>
    <t>Facility Size</t>
  </si>
  <si>
    <t>All-In Project Cost</t>
  </si>
  <si>
    <t>Initial Rent Yield</t>
  </si>
  <si>
    <t>Year 1 Annual Rent</t>
  </si>
  <si>
    <t>Annual Escalation</t>
  </si>
  <si>
    <t>Senior Debt</t>
  </si>
  <si>
    <t>Developer Equity</t>
  </si>
  <si>
    <t>Debt Rate</t>
  </si>
  <si>
    <t>Annual Debt Interest</t>
  </si>
  <si>
    <t>Hope Alliance Purchase Option Scenarios</t>
  </si>
  <si>
    <t>Option Year</t>
  </si>
  <si>
    <t>Gross Option Price</t>
  </si>
  <si>
    <t>Rent Credit</t>
  </si>
  <si>
    <t>Net Purchase Price</t>
  </si>
  <si>
    <t>Net Sale Proceeds After Debt</t>
  </si>
  <si>
    <t>Cash Flow During Hold</t>
  </si>
  <si>
    <t>Developer Profit</t>
  </si>
  <si>
    <t>Equity Multiple</t>
  </si>
  <si>
    <t>Leveraged IRR</t>
  </si>
  <si>
    <t>Outside Sale After Year 7 Scenarios</t>
  </si>
  <si>
    <t>Exit Cap Rate</t>
  </si>
  <si>
    <t>Year 8 Rent</t>
  </si>
  <si>
    <t>Sale Price</t>
  </si>
  <si>
    <t>Debt Payoff</t>
  </si>
  <si>
    <t>Net Sale Proceeds</t>
  </si>
  <si>
    <t>7-Year Cash Flow</t>
  </si>
  <si>
    <t>AQUILA / Hope Alliance Development Pro Forma</t>
  </si>
  <si>
    <t>Inputs are based on the proposed lease-purchase option structure and user-provided assumptions.</t>
  </si>
  <si>
    <t>Project and Lease Assumptions</t>
  </si>
  <si>
    <t>Input</t>
  </si>
  <si>
    <t>Units / Format</t>
  </si>
  <si>
    <t>Source / Notes</t>
  </si>
  <si>
    <t>Cell Ref</t>
  </si>
  <si>
    <t>Editable?</t>
  </si>
  <si>
    <t>SF</t>
  </si>
  <si>
    <t>User-provided project size</t>
  </si>
  <si>
    <t>B6</t>
  </si>
  <si>
    <t>Yes</t>
  </si>
  <si>
    <t>$</t>
  </si>
  <si>
    <t>User-provided all-in cost; includes land, hard costs, soft costs, contingency, and financing costs per discussion</t>
  </si>
  <si>
    <t>B7</t>
  </si>
  <si>
    <t>Year 1 Rent Yield</t>
  </si>
  <si>
    <t>%</t>
  </si>
  <si>
    <t>User requested 9.0% yield on $16M cost</t>
  </si>
  <si>
    <t>B8</t>
  </si>
  <si>
    <t>Annual Rent Escalation</t>
  </si>
  <si>
    <t>Proposed annual lease escalation</t>
  </si>
  <si>
    <t>B9</t>
  </si>
  <si>
    <t>Lease Term</t>
  </si>
  <si>
    <t>Years</t>
  </si>
  <si>
    <t>Proposed long-term lease term</t>
  </si>
  <si>
    <t>B10</t>
  </si>
  <si>
    <t>Formula: All-in cost x rent yield</t>
  </si>
  <si>
    <t>B11</t>
  </si>
  <si>
    <t>No</t>
  </si>
  <si>
    <t>Year 1 Monthly Rent</t>
  </si>
  <si>
    <t>Formula: annual rent / 12</t>
  </si>
  <si>
    <t>B12</t>
  </si>
  <si>
    <t>Initial Rent PSF</t>
  </si>
  <si>
    <t>$/SF/Yr</t>
  </si>
  <si>
    <t>Formula: annual rent / facility SF</t>
  </si>
  <si>
    <t>B13</t>
  </si>
  <si>
    <t>Developer capital stack assumption</t>
  </si>
  <si>
    <t>B14</t>
  </si>
  <si>
    <t>Formula: all-in cost less senior debt</t>
  </si>
  <si>
    <t>B15</t>
  </si>
  <si>
    <t>Assumed interest-only debt rate</t>
  </si>
  <si>
    <t>B16</t>
  </si>
  <si>
    <t>Formula: debt x rate</t>
  </si>
  <si>
    <t>B17</t>
  </si>
  <si>
    <t>Rent Credit Years 1-3</t>
  </si>
  <si>
    <t>User requested rent credit for years 1-3</t>
  </si>
  <si>
    <t>B18</t>
  </si>
  <si>
    <t>Rent Credit Years 4-7</t>
  </si>
  <si>
    <t>User requested rent credit for years 4-7</t>
  </si>
  <si>
    <t>B19</t>
  </si>
  <si>
    <t>Year 3 Gross Option Price</t>
  </si>
  <si>
    <t>Negotiated gross purchase option price before credits</t>
  </si>
  <si>
    <t>B20</t>
  </si>
  <si>
    <t>Year 5 Gross Option Price</t>
  </si>
  <si>
    <t>B21</t>
  </si>
  <si>
    <t>Year 7 Gross Option Price</t>
  </si>
  <si>
    <t>B22</t>
  </si>
  <si>
    <t>Lease Schedule and Rent Credits</t>
  </si>
  <si>
    <t>Rent, rent credits, and annual cash flow to developer through Year 7.</t>
  </si>
  <si>
    <t>Year</t>
  </si>
  <si>
    <t>Annual Rent</t>
  </si>
  <si>
    <t>Monthly Rent</t>
  </si>
  <si>
    <t>Credit %</t>
  </si>
  <si>
    <t>Annual Credit</t>
  </si>
  <si>
    <t>Cumulative Credit</t>
  </si>
  <si>
    <t>Cash Flow to Developer</t>
  </si>
  <si>
    <t>Notes</t>
  </si>
  <si>
    <t>Year 1 rent based on 9% yield</t>
  </si>
  <si>
    <t>2% annual escalation</t>
  </si>
  <si>
    <t>10% rent credit</t>
  </si>
  <si>
    <t>15% rent credit begins</t>
  </si>
  <si>
    <t>Year 5 option date</t>
  </si>
  <si>
    <t>Year 6 hold</t>
  </si>
  <si>
    <t>Year 7 option date</t>
  </si>
  <si>
    <t>Purchase Option Return Analysis</t>
  </si>
  <si>
    <t>Developer returns if Hope Alliance exercises the purchase option in Year 3, Year 5, or Year 7.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</si>
  <si>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</si>
  <si>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</si>
  <si>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</si>
  <si>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</si>
  <si>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</si>
  <si>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</si>
  <si>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</si>
  <si>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</si>
  <si>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Outside Sale Scenario After Year 7</t>
  </si>
  <si>
    <t>Assumes Hope Alliance does not exercise the Year 7 option; rent credits expire and AQUILA sells the leased asset.</t>
  </si>
  <si>
    <t>Sources &amp; Notes</t>
  </si>
  <si>
    <t>User-provided inputs and model conventions.</t>
  </si>
  <si>
    <t>Topic</t>
  </si>
  <si>
    <t>Source / Note</t>
  </si>
  <si>
    <t>Impact</t>
  </si>
  <si>
    <t>Update Needed?</t>
  </si>
  <si>
    <t>Project Size</t>
  </si>
  <si>
    <t>47,000 SF provided by user for Hope Alliance Cedar Park facility.</t>
  </si>
  <si>
    <t>Drives cost per SF and rent PSF.</t>
  </si>
  <si>
    <t>Confirm</t>
  </si>
  <si>
    <t>All-In Cost</t>
  </si>
  <si>
    <t>$16,000,000 all-in cost confirmed by user.</t>
  </si>
  <si>
    <t>Base for 9% yield and purchase option premium.</t>
  </si>
  <si>
    <t>Confirm with GC/development budget</t>
  </si>
  <si>
    <t>Rent Yield</t>
  </si>
  <si>
    <t>User requested 9% yield based on $16M all-in cost.</t>
  </si>
  <si>
    <t>Sets Year 1 annual rent at $1.44M.</t>
  </si>
  <si>
    <t>Confirm with Hope Alliance</t>
  </si>
  <si>
    <t>Rent Credits</t>
  </si>
  <si>
    <t>User requested 10% rent credit for Years 1-3 and 15% for Years 4-7.</t>
  </si>
  <si>
    <t>Reduces net purchase price if Hope Alliance closes on option.</t>
  </si>
  <si>
    <t>Include in LOI</t>
  </si>
  <si>
    <t>Option Prices</t>
  </si>
  <si>
    <t>$18.5M Year 3, $18.0M Year 5, $17.5M Year 7 from agreed working scenarios.</t>
  </si>
  <si>
    <t>Defines negotiated lease-purchase path.</t>
  </si>
  <si>
    <t>Confirm before sending</t>
  </si>
  <si>
    <t>Debt Assumption</t>
  </si>
  <si>
    <t>$12.5M senior debt at 7.0% interest-only used for internal developer analysis.</t>
  </si>
  <si>
    <t>Drives developer cash flow and IRR.</t>
  </si>
  <si>
    <t>Update with lender quotes</t>
  </si>
  <si>
    <t>Credit Expiration</t>
  </si>
  <si>
    <t>Model assumes rent credits expire if Hope Alliance does not exercise and close.</t>
  </si>
  <si>
    <t>Preserves outside sale value for AQUILA.</t>
  </si>
  <si>
    <t>Critical legal protection</t>
  </si>
  <si>
    <t>Taxes / Transaction Costs</t>
  </si>
  <si>
    <t>Model excludes closing costs, taxes, reserves, leasing costs, capex, and income taxes unless added later.</t>
  </si>
  <si>
    <t>Actual returns will vary.</t>
  </si>
  <si>
    <t>Add in detailed underwriting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</si>
</sst>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\$#,##0;[Red]\(\$#,##0\);\-"/>
    <numFmt numFmtId="166" formatCode="0.0%"/>
    <numFmt numFmtId="167" formatCode="\$0.00"/>
    <numFmt numFmtId="168" formatCode="0.0\x"/>
  </numFmts>
  <fonts count="7">
    <font>
      <sz val="11"/>
      <name val="Carlito"/>
    </font>
    <font>
      <b/>
      <sz val="16"/>
      <color rgb="FFFFFFFF"/>
      <name val="Carlito"/>
    </font>
    <font>
      <i/>
      <sz val="10"/>
      <color rgb="FF0B1F33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0B1F33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64" fontId="4" fillId="5" borderId="4" xfId="0" applyNumberFormat="1" applyFont="1" applyFill="1" applyBorder="1" applyAlignment="1">
      <alignment vertical="center" wrapText="1"/>
    </xf>
    <xf numFmtId="165" fontId="4" fillId="5" borderId="4" xfId="0" applyNumberFormat="1" applyFont="1" applyFill="1" applyBorder="1" applyAlignment="1">
      <alignment vertical="center" wrapText="1"/>
    </xf>
    <xf numFmtId="166" fontId="4" fillId="5" borderId="4" xfId="0" applyNumberFormat="1" applyFont="1" applyFill="1" applyBorder="1" applyAlignment="1">
      <alignment vertical="center" wrapText="1"/>
    </xf>
    <xf numFmtId="1" fontId="4" fillId="5" borderId="4" xfId="0" applyNumberFormat="1" applyFont="1" applyFill="1" applyBorder="1" applyAlignment="1">
      <alignment vertical="center" wrapText="1"/>
    </xf>
    <xf numFmtId="165" fontId="5" fillId="0" borderId="4" xfId="0" applyNumberFormat="1" applyFont="1" applyBorder="1" applyAlignment="1">
      <alignment vertical="center" wrapText="1"/>
    </xf>
    <xf numFmtId="167" fontId="5" fillId="0" borderId="4" xfId="0" applyNumberFormat="1" applyFont="1" applyBorder="1" applyAlignment="1">
      <alignment vertical="center" wrapText="1"/>
    </xf>
    <xf numFmtId="1" fontId="0" fillId="0" borderId="4" xfId="0" applyNumberFormat="1" applyBorder="1" applyAlignment="1">
      <alignment vertical="center" wrapText="1"/>
    </xf>
    <xf numFmtId="165" fontId="0" fillId="0" borderId="4" xfId="0" applyNumberFormat="1" applyBorder="1" applyAlignment="1">
      <alignment vertical="center" wrapText="1"/>
    </xf>
    <xf numFmtId="166" fontId="0" fillId="0" borderId="4" xfId="0" applyNumberFormat="1" applyBorder="1" applyAlignment="1">
      <alignment vertical="center" wrapText="1"/>
    </xf>
    <xf numFmtId="165" fontId="6" fillId="0" borderId="4" xfId="0" applyNumberFormat="1" applyFont="1" applyBorder="1" applyAlignment="1">
      <alignment vertical="center" wrapText="1"/>
    </xf>
    <xf numFmtId="168" fontId="5" fillId="0" borderId="4" xfId="0" applyNumberFormat="1" applyFont="1" applyBorder="1" applyAlignment="1">
      <alignment vertical="center" wrapText="1"/>
    </xf>
    <xf numFmtId="166" fontId="5" fillId="0" borderId="4" xfId="0" applyNumberFormat="1" applyFont="1" applyBorder="1" applyAlignment="1">
      <alignment vertical="center" wrapText="1"/>
    </xf>
    <xf numFmtId="164" fontId="6" fillId="0" borderId="4" xfId="0" applyNumberFormat="1" applyFont="1" applyBorder="1" applyAlignment="1">
      <alignment vertical="center" wrapText="1"/>
    </xf>
    <xf numFmtId="166" fontId="6" fillId="0" borderId="4" xfId="0" applyNumberFormat="1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8" fontId="6" fillId="0" borderId="4" xfId="0" applyNumberFormat="1" applyFont="1" applyBorder="1" applyAlignment="1">
      <alignment vertical="center" wrapText="1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seCreditTable" displayName="LeaseCreditTable" ref="A4:H11">
  <tableColumns count="8">
    <tableColumn id="1" xr3:uid="{00000000-0010-0000-0000-000001000000}" name="Year"/>
    <tableColumn id="2" xr3:uid="{00000000-0010-0000-0000-000002000000}" name="Annual Rent"/>
    <tableColumn id="3" xr3:uid="{00000000-0010-0000-0000-000003000000}" name="Monthly Rent"/>
    <tableColumn id="4" xr3:uid="{00000000-0010-0000-0000-000004000000}" name="Credit %"/>
    <tableColumn id="5" xr3:uid="{00000000-0010-0000-0000-000005000000}" name="Annual Credit"/>
    <tableColumn id="6" xr3:uid="{00000000-0010-0000-0000-000006000000}" name="Cumulative Credit"/>
    <tableColumn id="7" xr3:uid="{00000000-0010-0000-0000-000007000000}" name="Cash Flow to Developer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urchaseReturnTable" displayName="PurchaseReturnTable" ref="A4:I7">
  <tableColumns count="9">
    <tableColumn id="1" xr3:uid="{00000000-0010-0000-0100-000001000000}" name="Option Year"/>
    <tableColumn id="2" xr3:uid="{00000000-0010-0000-0100-000002000000}" name="Gross Option Price"/>
    <tableColumn id="3" xr3:uid="{00000000-0010-0000-0100-000003000000}" name="Rent Credit"/>
    <tableColumn id="4" xr3:uid="{00000000-0010-0000-0100-000004000000}" name="Net Purchase Price"/>
    <tableColumn id="5" xr3:uid="{00000000-0010-0000-0100-000005000000}" name="Net Sale Proceeds After Debt"/>
    <tableColumn id="6" xr3:uid="{00000000-0010-0000-0100-000006000000}" name="Cash Flow During Hold"/>
    <tableColumn id="7" xr3:uid="{00000000-0010-0000-0100-000007000000}" name="Developer Profit"/>
    <tableColumn id="8" xr3:uid="{00000000-0010-0000-0100-000008000000}" name="Equity Multiple"/>
    <tableColumn id="9" xr3:uid="{00000000-0010-0000-0100-000009000000}" name="Leveraged IR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utsideSaleTable" displayName="OutsideSaleTable" ref="A4:I7">
  <tableColumns count="9">
    <tableColumn id="1" xr3:uid="{00000000-0010-0000-0200-000001000000}" name="Exit Cap Rate"/>
    <tableColumn id="2" xr3:uid="{00000000-0010-0000-0200-000002000000}" name="Year 8 Rent"/>
    <tableColumn id="3" xr3:uid="{00000000-0010-0000-0200-000003000000}" name="Sale Price"/>
    <tableColumn id="4" xr3:uid="{00000000-0010-0000-0200-000004000000}" name="Debt Payoff"/>
    <tableColumn id="5" xr3:uid="{00000000-0010-0000-0200-000005000000}" name="Net Sale Proceeds"/>
    <tableColumn id="6" xr3:uid="{00000000-0010-0000-0200-000006000000}" name="7-Year Cash Flow"/>
    <tableColumn id="7" xr3:uid="{00000000-0010-0000-0200-000007000000}" name="Developer Profit"/>
    <tableColumn id="8" xr3:uid="{00000000-0010-0000-0200-000008000000}" name="Equity Multiple"/>
    <tableColumn id="9" xr3:uid="{00000000-0010-0000-0200-000009000000}" name="Leveraged IR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workbookViewId="0">
      <selection activeCell="B9" sqref="B9"/>
    </sheetView>
  </sheetViews>
  <sheetFormatPr defaultRowHeight="13.8"/>
  <cols>
    <col min="1" max="1" width="18.796875" customWidth="1"/>
    <col min="2" max="2" width="18" customWidth="1"/>
    <col min="3" max="3" width="16" customWidth="1"/>
    <col min="4" max="4" width="18" customWidth="1"/>
    <col min="5" max="5" width="26.796875" bestFit="1" customWidth="1"/>
    <col min="6" max="6" width="21" bestFit="1" customWidth="1"/>
    <col min="7" max="7" width="15.296875" bestFit="1" customWidth="1"/>
    <col min="8" max="8" width="15" customWidth="1"/>
    <col min="9" max="9" width="14" customWidth="1"/>
  </cols>
  <sheetData>
    <row r="1" spans="1:9" ht="19.2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" customHeight="1">
      <c r="A2" s="21" t="s">
        <v>1</v>
      </c>
      <c r="B2" s="20"/>
      <c r="C2" s="20"/>
      <c r="D2" s="20"/>
      <c r="E2" s="20"/>
      <c r="F2" s="20"/>
      <c r="G2" s="20"/>
      <c r="H2" s="20"/>
      <c r="I2" s="20"/>
    </row>
    <row r="4" spans="1:9" ht="15" customHeight="1">
      <c r="A4" s="1" t="s">
        <v>2</v>
      </c>
      <c r="B4" s="1" t="s">
        <v>3</v>
      </c>
    </row>
    <row r="5" spans="1:9" ht="15" customHeight="1">
      <c r="A5" s="2" t="s">
        <v>4</v>
      </c>
      <c r="B5" s="15">
        <f>Assumptions!B6</f>
        <v>47000</v>
      </c>
    </row>
    <row r="6" spans="1:9" ht="15" customHeight="1">
      <c r="A6" s="2" t="s">
        <v>5</v>
      </c>
      <c r="B6" s="12">
        <f>Assumptions!B7</f>
        <v>16000000</v>
      </c>
    </row>
    <row r="7" spans="1:9" ht="15" customHeight="1">
      <c r="A7" s="2" t="s">
        <v>6</v>
      </c>
      <c r="B7" s="16">
        <f>Assumptions!B8</f>
        <v>0.09</v>
      </c>
    </row>
    <row r="8" spans="1:9" ht="26.4" customHeight="1">
      <c r="A8" s="2" t="s">
        <v>7</v>
      </c>
      <c r="B8" s="12">
        <f>Assumptions!B11</f>
        <v>1440000</v>
      </c>
    </row>
    <row r="9" spans="1:9" ht="15" customHeight="1">
      <c r="A9" s="2" t="s">
        <v>8</v>
      </c>
      <c r="B9" s="16">
        <f>Assumptions!B9</f>
        <v>0.02</v>
      </c>
    </row>
    <row r="10" spans="1:9" ht="15" customHeight="1">
      <c r="A10" s="2" t="s">
        <v>9</v>
      </c>
      <c r="B10" s="12">
        <f>Assumptions!B14</f>
        <v>12500000</v>
      </c>
    </row>
    <row r="11" spans="1:9" ht="15" customHeight="1">
      <c r="A11" s="2" t="s">
        <v>10</v>
      </c>
      <c r="B11" s="12">
        <f>Assumptions!B15</f>
        <v>3500000</v>
      </c>
    </row>
    <row r="12" spans="1:9" ht="15" customHeight="1">
      <c r="A12" s="2" t="s">
        <v>11</v>
      </c>
      <c r="B12" s="16">
        <f>Assumptions!B16</f>
        <v>7.0000000000000007E-2</v>
      </c>
    </row>
    <row r="13" spans="1:9" ht="26.4" customHeight="1">
      <c r="A13" s="2" t="s">
        <v>12</v>
      </c>
      <c r="B13" s="12">
        <f>Assumptions!B17</f>
        <v>875000.00000000012</v>
      </c>
    </row>
    <row r="16" spans="1:9" ht="15" customHeight="1">
      <c r="A16" s="22" t="s">
        <v>13</v>
      </c>
      <c r="B16" s="23"/>
      <c r="C16" s="23"/>
      <c r="D16" s="23"/>
      <c r="E16" s="23"/>
      <c r="F16" s="23"/>
      <c r="G16" s="23"/>
      <c r="H16" s="23"/>
      <c r="I16" s="24"/>
    </row>
    <row r="17" spans="1:9" ht="15" customHeight="1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22</v>
      </c>
    </row>
    <row r="18" spans="1:9" ht="15" customHeight="1">
      <c r="A18" s="17">
        <f>'Purchase Options'!A5</f>
        <v>3</v>
      </c>
      <c r="B18" s="12">
        <f>'Purchase Options'!B5</f>
        <v>18500000</v>
      </c>
      <c r="C18" s="12">
        <f>'Purchase Options'!C5</f>
        <v>440697.59999999998</v>
      </c>
      <c r="D18" s="12">
        <f>'Purchase Options'!D5</f>
        <v>18059302.399999999</v>
      </c>
      <c r="E18" s="12">
        <f>'Purchase Options'!E5</f>
        <v>5559302.3999999985</v>
      </c>
      <c r="F18" s="12">
        <f>'Purchase Options'!F5</f>
        <v>1781975.9999999995</v>
      </c>
      <c r="G18" s="12">
        <f>'Purchase Options'!G5</f>
        <v>3841278.3999999985</v>
      </c>
      <c r="H18" s="18">
        <f>'Purchase Options'!H5</f>
        <v>2.0975081142857137</v>
      </c>
      <c r="I18" s="16">
        <f>'Purchase Options'!I5</f>
        <v>0.31385315541258008</v>
      </c>
    </row>
    <row r="19" spans="1:9" ht="15" customHeight="1">
      <c r="A19" s="17">
        <f>'Purchase Options'!A6</f>
        <v>5</v>
      </c>
      <c r="B19" s="12">
        <f>'Purchase Options'!B6</f>
        <v>18000000</v>
      </c>
      <c r="C19" s="12">
        <f>'Purchase Options'!C6</f>
        <v>903723.87455999991</v>
      </c>
      <c r="D19" s="12">
        <f>'Purchase Options'!D6</f>
        <v>17096276.125440001</v>
      </c>
      <c r="E19" s="12">
        <f>'Purchase Options'!E6</f>
        <v>4596276.1254400015</v>
      </c>
      <c r="F19" s="12">
        <f>'Purchase Options'!F6</f>
        <v>3118817.8303999994</v>
      </c>
      <c r="G19" s="12">
        <f>'Purchase Options'!G6</f>
        <v>4215093.9558400009</v>
      </c>
      <c r="H19" s="18">
        <f>'Purchase Options'!H6</f>
        <v>2.204312558811429</v>
      </c>
      <c r="I19" s="16">
        <f>'Purchase Options'!I6</f>
        <v>0.21577025024179219</v>
      </c>
    </row>
    <row r="20" spans="1:9" ht="15" customHeight="1">
      <c r="A20" s="17">
        <f>'Purchase Options'!A7</f>
        <v>7</v>
      </c>
      <c r="B20" s="12">
        <f>'Purchase Options'!B7</f>
        <v>17500000</v>
      </c>
      <c r="C20" s="12">
        <f>'Purchase Options'!C7</f>
        <v>1385456.4106122239</v>
      </c>
      <c r="D20" s="12">
        <f>'Purchase Options'!D7</f>
        <v>16114543.589387776</v>
      </c>
      <c r="E20" s="12">
        <f>'Purchase Options'!E7</f>
        <v>3614543.5893877763</v>
      </c>
      <c r="F20" s="12">
        <f>'Purchase Options'!F7</f>
        <v>4580368.0707481597</v>
      </c>
      <c r="G20" s="12">
        <f>'Purchase Options'!G7</f>
        <v>4694911.660135936</v>
      </c>
      <c r="H20" s="18">
        <f>'Purchase Options'!H7</f>
        <v>2.3414033314674101</v>
      </c>
      <c r="I20" s="16">
        <f>'Purchase Options'!I7</f>
        <v>0.18392353562857622</v>
      </c>
    </row>
    <row r="23" spans="1:9" ht="15" customHeight="1">
      <c r="A23" s="22" t="s">
        <v>23</v>
      </c>
      <c r="B23" s="23"/>
      <c r="C23" s="23"/>
      <c r="D23" s="23"/>
      <c r="E23" s="23"/>
      <c r="F23" s="23"/>
      <c r="G23" s="23"/>
      <c r="H23" s="23"/>
      <c r="I23" s="24"/>
    </row>
    <row r="24" spans="1:9" ht="15" customHeight="1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29</v>
      </c>
      <c r="G24" s="1" t="s">
        <v>20</v>
      </c>
      <c r="H24" s="1" t="s">
        <v>21</v>
      </c>
      <c r="I24" s="1" t="s">
        <v>22</v>
      </c>
    </row>
    <row r="25" spans="1:9" ht="15" customHeight="1">
      <c r="A25" s="16">
        <f>'Outside Sale'!A5</f>
        <v>8.5000000000000006E-2</v>
      </c>
      <c r="B25" s="12">
        <f>'Outside Sale'!B5</f>
        <v>1654107.3614149634</v>
      </c>
      <c r="C25" s="12">
        <f>'Outside Sale'!C5</f>
        <v>19460086.60488192</v>
      </c>
      <c r="D25" s="12">
        <f>'Outside Sale'!D5</f>
        <v>12500000</v>
      </c>
      <c r="E25" s="12">
        <f>'Outside Sale'!E5</f>
        <v>6960086.6048819199</v>
      </c>
      <c r="F25" s="12">
        <f>'Outside Sale'!F5</f>
        <v>4580368.0707481597</v>
      </c>
      <c r="G25" s="12">
        <f>'Outside Sale'!G5</f>
        <v>8040454.6756300796</v>
      </c>
      <c r="H25" s="18">
        <f>'Outside Sale'!H5</f>
        <v>3.2972727644657369</v>
      </c>
      <c r="I25" s="16">
        <f>'Outside Sale'!I5</f>
        <v>0.24604686090632533</v>
      </c>
    </row>
    <row r="26" spans="1:9" ht="15" customHeight="1">
      <c r="A26" s="16">
        <f>'Outside Sale'!A6</f>
        <v>0.08</v>
      </c>
      <c r="B26" s="12">
        <f>'Outside Sale'!B6</f>
        <v>1654107.3614149634</v>
      </c>
      <c r="C26" s="12">
        <f>'Outside Sale'!C6</f>
        <v>20676342.017687041</v>
      </c>
      <c r="D26" s="12">
        <f>'Outside Sale'!D6</f>
        <v>12500000</v>
      </c>
      <c r="E26" s="12">
        <f>'Outside Sale'!E6</f>
        <v>8176342.0176870413</v>
      </c>
      <c r="F26" s="12">
        <f>'Outside Sale'!F6</f>
        <v>4580368.0707481597</v>
      </c>
      <c r="G26" s="12">
        <f>'Outside Sale'!G6</f>
        <v>9256710.088435201</v>
      </c>
      <c r="H26" s="18">
        <f>'Outside Sale'!H6</f>
        <v>3.6447743109814859</v>
      </c>
      <c r="I26" s="16">
        <f>'Outside Sale'!I6</f>
        <v>0.2640896500492238</v>
      </c>
    </row>
    <row r="27" spans="1:9" ht="15" customHeight="1">
      <c r="A27" s="16">
        <f>'Outside Sale'!A7</f>
        <v>7.4999999999999997E-2</v>
      </c>
      <c r="B27" s="12">
        <f>'Outside Sale'!B7</f>
        <v>1654107.3614149634</v>
      </c>
      <c r="C27" s="12">
        <f>'Outside Sale'!C7</f>
        <v>22054764.818866178</v>
      </c>
      <c r="D27" s="12">
        <f>'Outside Sale'!D7</f>
        <v>12500000</v>
      </c>
      <c r="E27" s="12">
        <f>'Outside Sale'!E7</f>
        <v>9554764.8188661784</v>
      </c>
      <c r="F27" s="12">
        <f>'Outside Sale'!F7</f>
        <v>4580368.0707481597</v>
      </c>
      <c r="G27" s="12">
        <f>'Outside Sale'!G7</f>
        <v>10635132.889614338</v>
      </c>
      <c r="H27" s="18">
        <f>'Outside Sale'!H7</f>
        <v>4.0386093970326682</v>
      </c>
      <c r="I27" s="16">
        <f>'Outside Sale'!I7</f>
        <v>0.28258637477073245</v>
      </c>
    </row>
  </sheetData>
  <mergeCells count="4">
    <mergeCell ref="A1:I1"/>
    <mergeCell ref="A2:I2"/>
    <mergeCell ref="A16:I16"/>
    <mergeCell ref="A23:I23"/>
  </mergeCells>
  <conditionalFormatting sqref="I18:I20">
    <cfRule type="dataBar" priority="1">
      <dataBar>
        <cfvo type="min"/>
        <cfvo type="max"/>
        <color rgb="FF156082"/>
      </dataBar>
    </cfRule>
    <cfRule type="dataBar" priority="3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{8213237C-262D-8CED-9257-E0A72B4BD1FC}</x14:id>
        </ext>
      </extLst>
    </cfRule>
  </conditionalFormatting>
  <conditionalFormatting sqref="I25:I27">
    <cfRule type="dataBar" priority="2">
      <dataBar>
        <cfvo type="min"/>
        <cfvo type="max"/>
        <color rgb="FF156082"/>
      </dataBar>
    </cfRule>
    <cfRule type="dataBar" priority="4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{74327466-E964-C229-8BA0-2CF9360A3A34}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13237C-262D-8CED-9257-E0A72B4BD1FC}">
            <x14:dataBar>
              <x14:cfvo type="min"/>
              <x14:cfvo type="max"/>
              <x14:negativeFillColor auto="1"/>
              <x14:axisColor auto="1"/>
            </x14:dataBar>
          </x14:cfRule>
          <xm:sqref>I18:I20</xm:sqref>
        </x14:conditionalFormatting>
        <x14:conditionalFormatting xmlns:xm="http://schemas.microsoft.com/office/excel/2006/main">
          <x14:cfRule type="dataBar" id="{74327466-E964-C229-8BA0-2CF9360A3A34}">
            <x14:dataBar>
              <x14:cfvo type="min"/>
              <x14:cfvo type="max"/>
              <x14:negativeFillColor auto="1"/>
              <x14:axisColor auto="1"/>
            </x14:dataBar>
          </x14:cfRule>
          <xm:sqref>I25:I27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>
      <selection sqref="A1:F1"/>
    </sheetView>
  </sheetViews>
  <sheetFormatPr defaultRowHeight="13.8"/>
  <cols>
    <col min="1" max="1" width="28" customWidth="1"/>
    <col min="2" max="2" width="16" customWidth="1"/>
    <col min="3" max="3" width="12" customWidth="1"/>
    <col min="4" max="4" width="45" customWidth="1"/>
    <col min="5" max="6" width="12" customWidth="1"/>
  </cols>
  <sheetData>
    <row r="1" spans="1:6" ht="19.2" customHeight="1">
      <c r="A1" s="19" t="s">
        <v>30</v>
      </c>
      <c r="B1" s="20"/>
      <c r="C1" s="20"/>
      <c r="D1" s="20"/>
      <c r="E1" s="20"/>
      <c r="F1" s="20"/>
    </row>
    <row r="2" spans="1:6" ht="15" customHeight="1">
      <c r="A2" s="21" t="s">
        <v>31</v>
      </c>
      <c r="B2" s="20"/>
      <c r="C2" s="20"/>
      <c r="D2" s="20"/>
      <c r="E2" s="20"/>
      <c r="F2" s="20"/>
    </row>
    <row r="4" spans="1:6" ht="15" customHeight="1">
      <c r="A4" s="22" t="s">
        <v>32</v>
      </c>
      <c r="B4" s="23"/>
      <c r="C4" s="23"/>
      <c r="D4" s="23"/>
      <c r="E4" s="23"/>
      <c r="F4" s="24"/>
    </row>
    <row r="5" spans="1:6" ht="15" customHeight="1">
      <c r="A5" s="1" t="s">
        <v>33</v>
      </c>
      <c r="B5" s="1" t="s">
        <v>3</v>
      </c>
      <c r="C5" s="1" t="s">
        <v>34</v>
      </c>
      <c r="D5" s="1" t="s">
        <v>35</v>
      </c>
      <c r="E5" s="1" t="s">
        <v>36</v>
      </c>
      <c r="F5" s="1" t="s">
        <v>37</v>
      </c>
    </row>
    <row r="6" spans="1:6" ht="15" customHeight="1">
      <c r="A6" s="2" t="s">
        <v>4</v>
      </c>
      <c r="B6" s="3">
        <v>47000</v>
      </c>
      <c r="C6" s="2" t="s">
        <v>38</v>
      </c>
      <c r="D6" s="2" t="s">
        <v>39</v>
      </c>
      <c r="E6" s="2" t="s">
        <v>40</v>
      </c>
      <c r="F6" s="2" t="s">
        <v>41</v>
      </c>
    </row>
    <row r="7" spans="1:6" ht="26.4" customHeight="1">
      <c r="A7" s="2" t="s">
        <v>5</v>
      </c>
      <c r="B7" s="4">
        <v>16000000</v>
      </c>
      <c r="C7" s="2" t="s">
        <v>42</v>
      </c>
      <c r="D7" s="2" t="s">
        <v>43</v>
      </c>
      <c r="E7" s="2" t="s">
        <v>44</v>
      </c>
      <c r="F7" s="2" t="s">
        <v>41</v>
      </c>
    </row>
    <row r="8" spans="1:6" ht="15" customHeight="1">
      <c r="A8" s="2" t="s">
        <v>45</v>
      </c>
      <c r="B8" s="5">
        <v>0.09</v>
      </c>
      <c r="C8" s="2" t="s">
        <v>46</v>
      </c>
      <c r="D8" s="2" t="s">
        <v>47</v>
      </c>
      <c r="E8" s="2" t="s">
        <v>48</v>
      </c>
      <c r="F8" s="2" t="s">
        <v>41</v>
      </c>
    </row>
    <row r="9" spans="1:6" ht="15" customHeight="1">
      <c r="A9" s="2" t="s">
        <v>49</v>
      </c>
      <c r="B9" s="5">
        <v>0.02</v>
      </c>
      <c r="C9" s="2" t="s">
        <v>46</v>
      </c>
      <c r="D9" s="2" t="s">
        <v>50</v>
      </c>
      <c r="E9" s="2" t="s">
        <v>51</v>
      </c>
      <c r="F9" s="2" t="s">
        <v>41</v>
      </c>
    </row>
    <row r="10" spans="1:6" ht="15" customHeight="1">
      <c r="A10" s="2" t="s">
        <v>52</v>
      </c>
      <c r="B10" s="6">
        <v>20</v>
      </c>
      <c r="C10" s="2" t="s">
        <v>53</v>
      </c>
      <c r="D10" s="2" t="s">
        <v>54</v>
      </c>
      <c r="E10" s="2" t="s">
        <v>55</v>
      </c>
      <c r="F10" s="2" t="s">
        <v>41</v>
      </c>
    </row>
    <row r="11" spans="1:6" ht="15" customHeight="1">
      <c r="A11" s="2" t="s">
        <v>7</v>
      </c>
      <c r="B11" s="7">
        <f>B7*B8</f>
        <v>1440000</v>
      </c>
      <c r="C11" s="2" t="s">
        <v>42</v>
      </c>
      <c r="D11" s="2" t="s">
        <v>56</v>
      </c>
      <c r="E11" s="2" t="s">
        <v>57</v>
      </c>
      <c r="F11" s="2" t="s">
        <v>58</v>
      </c>
    </row>
    <row r="12" spans="1:6" ht="15" customHeight="1">
      <c r="A12" s="2" t="s">
        <v>59</v>
      </c>
      <c r="B12" s="7">
        <f>B11/12</f>
        <v>120000</v>
      </c>
      <c r="C12" s="2" t="s">
        <v>42</v>
      </c>
      <c r="D12" s="2" t="s">
        <v>60</v>
      </c>
      <c r="E12" s="2" t="s">
        <v>61</v>
      </c>
      <c r="F12" s="2" t="s">
        <v>58</v>
      </c>
    </row>
    <row r="13" spans="1:6" ht="15" customHeight="1">
      <c r="A13" s="2" t="s">
        <v>62</v>
      </c>
      <c r="B13" s="8">
        <f>B11/B6</f>
        <v>30.638297872340427</v>
      </c>
      <c r="C13" s="2" t="s">
        <v>63</v>
      </c>
      <c r="D13" s="2" t="s">
        <v>64</v>
      </c>
      <c r="E13" s="2" t="s">
        <v>65</v>
      </c>
      <c r="F13" s="2" t="s">
        <v>58</v>
      </c>
    </row>
    <row r="14" spans="1:6" ht="15" customHeight="1">
      <c r="A14" s="2" t="s">
        <v>9</v>
      </c>
      <c r="B14" s="4">
        <v>12500000</v>
      </c>
      <c r="C14" s="2" t="s">
        <v>42</v>
      </c>
      <c r="D14" s="2" t="s">
        <v>66</v>
      </c>
      <c r="E14" s="2" t="s">
        <v>67</v>
      </c>
      <c r="F14" s="2" t="s">
        <v>41</v>
      </c>
    </row>
    <row r="15" spans="1:6" ht="15" customHeight="1">
      <c r="A15" s="2" t="s">
        <v>10</v>
      </c>
      <c r="B15" s="7">
        <f>B7-B14</f>
        <v>3500000</v>
      </c>
      <c r="C15" s="2" t="s">
        <v>42</v>
      </c>
      <c r="D15" s="2" t="s">
        <v>68</v>
      </c>
      <c r="E15" s="2" t="s">
        <v>69</v>
      </c>
      <c r="F15" s="2" t="s">
        <v>58</v>
      </c>
    </row>
    <row r="16" spans="1:6" ht="15" customHeight="1">
      <c r="A16" s="2" t="s">
        <v>11</v>
      </c>
      <c r="B16" s="5">
        <v>7.0000000000000007E-2</v>
      </c>
      <c r="C16" s="2" t="s">
        <v>46</v>
      </c>
      <c r="D16" s="2" t="s">
        <v>70</v>
      </c>
      <c r="E16" s="2" t="s">
        <v>71</v>
      </c>
      <c r="F16" s="2" t="s">
        <v>41</v>
      </c>
    </row>
    <row r="17" spans="1:6" ht="15" customHeight="1">
      <c r="A17" s="2" t="s">
        <v>12</v>
      </c>
      <c r="B17" s="7">
        <f>B14*B16</f>
        <v>875000.00000000012</v>
      </c>
      <c r="C17" s="2" t="s">
        <v>42</v>
      </c>
      <c r="D17" s="2" t="s">
        <v>72</v>
      </c>
      <c r="E17" s="2" t="s">
        <v>73</v>
      </c>
      <c r="F17" s="2" t="s">
        <v>58</v>
      </c>
    </row>
    <row r="18" spans="1:6" ht="15" customHeight="1">
      <c r="A18" s="2" t="s">
        <v>74</v>
      </c>
      <c r="B18" s="5">
        <v>0.1</v>
      </c>
      <c r="C18" s="2" t="s">
        <v>46</v>
      </c>
      <c r="D18" s="2" t="s">
        <v>75</v>
      </c>
      <c r="E18" s="2" t="s">
        <v>76</v>
      </c>
      <c r="F18" s="2" t="s">
        <v>41</v>
      </c>
    </row>
    <row r="19" spans="1:6" ht="15" customHeight="1">
      <c r="A19" s="2" t="s">
        <v>77</v>
      </c>
      <c r="B19" s="5">
        <v>0.15</v>
      </c>
      <c r="C19" s="2" t="s">
        <v>46</v>
      </c>
      <c r="D19" s="2" t="s">
        <v>78</v>
      </c>
      <c r="E19" s="2" t="s">
        <v>79</v>
      </c>
      <c r="F19" s="2" t="s">
        <v>41</v>
      </c>
    </row>
    <row r="20" spans="1:6" ht="15" customHeight="1">
      <c r="A20" s="2" t="s">
        <v>80</v>
      </c>
      <c r="B20" s="4">
        <v>18500000</v>
      </c>
      <c r="C20" s="2" t="s">
        <v>42</v>
      </c>
      <c r="D20" s="2" t="s">
        <v>81</v>
      </c>
      <c r="E20" s="2" t="s">
        <v>82</v>
      </c>
      <c r="F20" s="2" t="s">
        <v>41</v>
      </c>
    </row>
    <row r="21" spans="1:6" ht="15" customHeight="1">
      <c r="A21" s="2" t="s">
        <v>83</v>
      </c>
      <c r="B21" s="4">
        <v>18000000</v>
      </c>
      <c r="C21" s="2" t="s">
        <v>42</v>
      </c>
      <c r="D21" s="2" t="s">
        <v>81</v>
      </c>
      <c r="E21" s="2" t="s">
        <v>84</v>
      </c>
      <c r="F21" s="2" t="s">
        <v>41</v>
      </c>
    </row>
    <row r="22" spans="1:6" ht="15" customHeight="1">
      <c r="A22" s="2" t="s">
        <v>85</v>
      </c>
      <c r="B22" s="4">
        <v>17500000</v>
      </c>
      <c r="C22" s="2" t="s">
        <v>42</v>
      </c>
      <c r="D22" s="2" t="s">
        <v>81</v>
      </c>
      <c r="E22" s="2" t="s">
        <v>86</v>
      </c>
      <c r="F22" s="2" t="s">
        <v>41</v>
      </c>
    </row>
  </sheetData>
  <mergeCells count="3">
    <mergeCell ref="A1:F1"/>
    <mergeCell ref="A2:F2"/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selection sqref="A1:H1"/>
    </sheetView>
  </sheetViews>
  <sheetFormatPr defaultRowHeight="13.8"/>
  <cols>
    <col min="1" max="1" width="10" customWidth="1"/>
    <col min="2" max="3" width="16" customWidth="1"/>
    <col min="4" max="4" width="12" customWidth="1"/>
    <col min="5" max="5" width="16" customWidth="1"/>
    <col min="6" max="6" width="18" customWidth="1"/>
    <col min="7" max="7" width="22" customWidth="1"/>
    <col min="8" max="8" width="25" customWidth="1"/>
  </cols>
  <sheetData>
    <row r="1" spans="1:8" ht="19.2" customHeight="1">
      <c r="A1" s="19" t="s">
        <v>87</v>
      </c>
      <c r="B1" s="20"/>
      <c r="C1" s="20"/>
      <c r="D1" s="20"/>
      <c r="E1" s="20"/>
      <c r="F1" s="20"/>
      <c r="G1" s="20"/>
      <c r="H1" s="20"/>
    </row>
    <row r="2" spans="1:8" ht="15" customHeight="1">
      <c r="A2" s="21" t="s">
        <v>88</v>
      </c>
      <c r="B2" s="20"/>
      <c r="C2" s="20"/>
      <c r="D2" s="20"/>
      <c r="E2" s="20"/>
      <c r="F2" s="20"/>
      <c r="G2" s="20"/>
      <c r="H2" s="20"/>
    </row>
    <row r="4" spans="1:8" ht="15" customHeight="1">
      <c r="A4" s="1" t="s">
        <v>89</v>
      </c>
      <c r="B4" s="1" t="s">
        <v>90</v>
      </c>
      <c r="C4" s="1" t="s">
        <v>91</v>
      </c>
      <c r="D4" s="1" t="s">
        <v>92</v>
      </c>
      <c r="E4" s="1" t="s">
        <v>93</v>
      </c>
      <c r="F4" s="1" t="s">
        <v>94</v>
      </c>
      <c r="G4" s="1" t="s">
        <v>95</v>
      </c>
      <c r="H4" s="1" t="s">
        <v>96</v>
      </c>
    </row>
    <row r="5" spans="1:8" ht="15" customHeight="1">
      <c r="A5" s="9">
        <v>1</v>
      </c>
      <c r="B5" s="10">
        <f>Assumptions!$B$11</f>
        <v>1440000</v>
      </c>
      <c r="C5" s="10">
        <f t="shared" ref="C5:C11" si="0">B5/12</f>
        <v>120000</v>
      </c>
      <c r="D5" s="11">
        <f>IF(A5&lt;=3,Assumptions!$B$18,Assumptions!$B$19)</f>
        <v>0.1</v>
      </c>
      <c r="E5" s="10">
        <f t="shared" ref="E5:E11" si="1">B5*D5</f>
        <v>144000</v>
      </c>
      <c r="F5" s="10">
        <f>SUM($E$5:E5)</f>
        <v>144000</v>
      </c>
      <c r="G5" s="10">
        <f>B5-Assumptions!$B$17</f>
        <v>564999.99999999988</v>
      </c>
      <c r="H5" s="2" t="s">
        <v>97</v>
      </c>
    </row>
    <row r="6" spans="1:8" ht="15" customHeight="1">
      <c r="A6" s="9">
        <v>2</v>
      </c>
      <c r="B6" s="10">
        <f>B5*(1+Assumptions!$B$9)</f>
        <v>1468800</v>
      </c>
      <c r="C6" s="10">
        <f t="shared" si="0"/>
        <v>122400</v>
      </c>
      <c r="D6" s="11">
        <f>IF(A6&lt;=3,Assumptions!$B$18,Assumptions!$B$19)</f>
        <v>0.1</v>
      </c>
      <c r="E6" s="10">
        <f t="shared" si="1"/>
        <v>146880</v>
      </c>
      <c r="F6" s="10">
        <f>SUM($E$5:E6)</f>
        <v>290880</v>
      </c>
      <c r="G6" s="10">
        <f>B6-Assumptions!$B$17</f>
        <v>593799.99999999988</v>
      </c>
      <c r="H6" s="2" t="s">
        <v>98</v>
      </c>
    </row>
    <row r="7" spans="1:8" ht="15" customHeight="1">
      <c r="A7" s="9">
        <v>3</v>
      </c>
      <c r="B7" s="10">
        <f>B6*(1+Assumptions!$B$9)</f>
        <v>1498176</v>
      </c>
      <c r="C7" s="10">
        <f t="shared" si="0"/>
        <v>124848</v>
      </c>
      <c r="D7" s="11">
        <f>IF(A7&lt;=3,Assumptions!$B$18,Assumptions!$B$19)</f>
        <v>0.1</v>
      </c>
      <c r="E7" s="10">
        <f t="shared" si="1"/>
        <v>149817.60000000001</v>
      </c>
      <c r="F7" s="10">
        <f>SUM($E$5:E7)</f>
        <v>440697.59999999998</v>
      </c>
      <c r="G7" s="10">
        <f>B7-Assumptions!$B$17</f>
        <v>623175.99999999988</v>
      </c>
      <c r="H7" s="2" t="s">
        <v>99</v>
      </c>
    </row>
    <row r="8" spans="1:8" ht="15" customHeight="1">
      <c r="A8" s="9">
        <v>4</v>
      </c>
      <c r="B8" s="10">
        <f>B7*(1+Assumptions!$B$9)</f>
        <v>1528139.52</v>
      </c>
      <c r="C8" s="10">
        <f t="shared" si="0"/>
        <v>127344.96000000001</v>
      </c>
      <c r="D8" s="11">
        <f>IF(A8&lt;=3,Assumptions!$B$18,Assumptions!$B$19)</f>
        <v>0.15</v>
      </c>
      <c r="E8" s="10">
        <f t="shared" si="1"/>
        <v>229220.92799999999</v>
      </c>
      <c r="F8" s="10">
        <f>SUM($E$5:E8)</f>
        <v>669918.52799999993</v>
      </c>
      <c r="G8" s="10">
        <f>B8-Assumptions!$B$17</f>
        <v>653139.5199999999</v>
      </c>
      <c r="H8" s="2" t="s">
        <v>100</v>
      </c>
    </row>
    <row r="9" spans="1:8" ht="15" customHeight="1">
      <c r="A9" s="9">
        <v>5</v>
      </c>
      <c r="B9" s="10">
        <f>B8*(1+Assumptions!$B$9)</f>
        <v>1558702.3104000001</v>
      </c>
      <c r="C9" s="10">
        <f t="shared" si="0"/>
        <v>129891.85920000001</v>
      </c>
      <c r="D9" s="11">
        <f>IF(A9&lt;=3,Assumptions!$B$18,Assumptions!$B$19)</f>
        <v>0.15</v>
      </c>
      <c r="E9" s="10">
        <f t="shared" si="1"/>
        <v>233805.34656000001</v>
      </c>
      <c r="F9" s="10">
        <f>SUM($E$5:E9)</f>
        <v>903723.87455999991</v>
      </c>
      <c r="G9" s="10">
        <f>B9-Assumptions!$B$17</f>
        <v>683702.31039999996</v>
      </c>
      <c r="H9" s="2" t="s">
        <v>101</v>
      </c>
    </row>
    <row r="10" spans="1:8" ht="15" customHeight="1">
      <c r="A10" s="9">
        <v>6</v>
      </c>
      <c r="B10" s="10">
        <f>B9*(1+Assumptions!$B$9)</f>
        <v>1589876.3566080001</v>
      </c>
      <c r="C10" s="10">
        <f t="shared" si="0"/>
        <v>132489.69638400001</v>
      </c>
      <c r="D10" s="11">
        <f>IF(A10&lt;=3,Assumptions!$B$18,Assumptions!$B$19)</f>
        <v>0.15</v>
      </c>
      <c r="E10" s="10">
        <f t="shared" si="1"/>
        <v>238481.45349119999</v>
      </c>
      <c r="F10" s="10">
        <f>SUM($E$5:E10)</f>
        <v>1142205.3280511999</v>
      </c>
      <c r="G10" s="10">
        <f>B10-Assumptions!$B$17</f>
        <v>714876.356608</v>
      </c>
      <c r="H10" s="2" t="s">
        <v>102</v>
      </c>
    </row>
    <row r="11" spans="1:8" ht="15" customHeight="1">
      <c r="A11" s="9">
        <v>7</v>
      </c>
      <c r="B11" s="10">
        <f>B10*(1+Assumptions!$B$9)</f>
        <v>1621673.8837401601</v>
      </c>
      <c r="C11" s="10">
        <f t="shared" si="0"/>
        <v>135139.49031168001</v>
      </c>
      <c r="D11" s="11">
        <f>IF(A11&lt;=3,Assumptions!$B$18,Assumptions!$B$19)</f>
        <v>0.15</v>
      </c>
      <c r="E11" s="10">
        <f t="shared" si="1"/>
        <v>243251.082561024</v>
      </c>
      <c r="F11" s="10">
        <f>SUM($E$5:E11)</f>
        <v>1385456.4106122239</v>
      </c>
      <c r="G11" s="10">
        <f>B11-Assumptions!$B$17</f>
        <v>746673.88374016003</v>
      </c>
      <c r="H11" s="2" t="s">
        <v>103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showGridLines="0" workbookViewId="0">
      <selection sqref="A1:Q1"/>
    </sheetView>
  </sheetViews>
  <sheetFormatPr defaultRowHeight="13.8"/>
  <cols>
    <col min="1" max="1" width="12" customWidth="1"/>
    <col min="2" max="2" width="18" customWidth="1"/>
    <col min="3" max="3" width="16" customWidth="1"/>
    <col min="4" max="4" width="18" customWidth="1"/>
    <col min="5" max="5" width="24" customWidth="1"/>
    <col min="6" max="6" width="22" customWidth="1"/>
    <col min="7" max="7" width="18" customWidth="1"/>
    <col min="8" max="8" width="15" customWidth="1"/>
    <col min="9" max="9" width="14" customWidth="1"/>
    <col min="10" max="17" width="13" customWidth="1"/>
  </cols>
  <sheetData>
    <row r="1" spans="1:17" ht="19.2" customHeight="1">
      <c r="A1" s="19" t="s">
        <v>104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>
      <c r="A2" s="21" t="s">
        <v>105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7" ht="15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106</v>
      </c>
      <c r="K4" s="1" t="s">
        <v>107</v>
      </c>
      <c r="L4" s="1" t="s">
        <v>108</v>
      </c>
      <c r="M4" s="1" t="s">
        <v>109</v>
      </c>
      <c r="N4" s="1" t="s">
        <v>110</v>
      </c>
      <c r="O4" s="1" t="s">
        <v>111</v>
      </c>
      <c r="P4" s="1" t="s">
        <v>112</v>
      </c>
      <c r="Q4" s="1" t="s">
        <v>113</v>
      </c>
    </row>
    <row r="5" spans="1:17" ht="15" customHeight="1">
      <c r="A5" s="2">
        <v>3</v>
      </c>
      <c r="B5" s="12">
        <f>Assumptions!$B$20</f>
        <v>18500000</v>
      </c>
      <c r="C5" s="12">
        <f>'Lease Credits'!F7</f>
        <v>440697.59999999998</v>
      </c>
      <c r="D5" s="12">
        <f>B5-C5</f>
        <v>18059302.399999999</v>
      </c>
      <c r="E5" s="12">
        <f>D5-Assumptions!$B$14</f>
        <v>5559302.3999999985</v>
      </c>
      <c r="F5" s="12">
        <f>SUM('Lease Credits'!$G$5:$G$7)</f>
        <v>1781975.9999999995</v>
      </c>
      <c r="G5" s="12">
        <f>E5+F5-Assumptions!$B$15</f>
        <v>3841278.3999999985</v>
      </c>
      <c r="H5" s="13">
        <f>(E5+F5)/Assumptions!$B$15</f>
        <v>2.0975081142857137</v>
      </c>
      <c r="I5" s="14">
        <f>IRR(J5:M5)</f>
        <v>0.31385315541258008</v>
      </c>
      <c r="J5" s="12">
        <f>-Assumptions!$B$15</f>
        <v>-3500000</v>
      </c>
      <c r="K5" s="12">
        <f>'Lease Credits'!G5</f>
        <v>564999.99999999988</v>
      </c>
      <c r="L5" s="12">
        <f>'Lease Credits'!G6</f>
        <v>593799.99999999988</v>
      </c>
      <c r="M5" s="12">
        <f>'Lease Credits'!G7+E5</f>
        <v>6182478.3999999985</v>
      </c>
      <c r="N5" s="12"/>
      <c r="O5" s="12"/>
      <c r="P5" s="12"/>
      <c r="Q5" s="12"/>
    </row>
    <row r="6" spans="1:17" ht="15" customHeight="1">
      <c r="A6" s="2">
        <v>5</v>
      </c>
      <c r="B6" s="12">
        <f>Assumptions!$B$21</f>
        <v>18000000</v>
      </c>
      <c r="C6" s="12">
        <f>'Lease Credits'!F9</f>
        <v>903723.87455999991</v>
      </c>
      <c r="D6" s="12">
        <f>B6-C6</f>
        <v>17096276.125440001</v>
      </c>
      <c r="E6" s="12">
        <f>D6-Assumptions!$B$14</f>
        <v>4596276.1254400015</v>
      </c>
      <c r="F6" s="12">
        <f>SUM('Lease Credits'!$G$5:$G$9)</f>
        <v>3118817.8303999994</v>
      </c>
      <c r="G6" s="12">
        <f>E6+F6-Assumptions!$B$15</f>
        <v>4215093.9558400009</v>
      </c>
      <c r="H6" s="13">
        <f>(E6+F6)/Assumptions!$B$15</f>
        <v>2.204312558811429</v>
      </c>
      <c r="I6" s="14">
        <f>IRR(J6:O6)</f>
        <v>0.21577025024179219</v>
      </c>
      <c r="J6" s="12">
        <f>-Assumptions!$B$15</f>
        <v>-3500000</v>
      </c>
      <c r="K6" s="12">
        <f>'Lease Credits'!G5</f>
        <v>564999.99999999988</v>
      </c>
      <c r="L6" s="12">
        <f>'Lease Credits'!G6</f>
        <v>593799.99999999988</v>
      </c>
      <c r="M6" s="12">
        <f>'Lease Credits'!G7</f>
        <v>623175.99999999988</v>
      </c>
      <c r="N6" s="12">
        <f>'Lease Credits'!G8</f>
        <v>653139.5199999999</v>
      </c>
      <c r="O6" s="12">
        <f>'Lease Credits'!G9+E6</f>
        <v>5279978.4358400013</v>
      </c>
      <c r="P6" s="12"/>
      <c r="Q6" s="12"/>
    </row>
    <row r="7" spans="1:17" ht="15" customHeight="1">
      <c r="A7" s="2">
        <v>7</v>
      </c>
      <c r="B7" s="12">
        <f>Assumptions!$B$22</f>
        <v>17500000</v>
      </c>
      <c r="C7" s="12">
        <f>'Lease Credits'!F11</f>
        <v>1385456.4106122239</v>
      </c>
      <c r="D7" s="12">
        <f>B7-C7</f>
        <v>16114543.589387776</v>
      </c>
      <c r="E7" s="12">
        <f>D7-Assumptions!$B$14</f>
        <v>3614543.5893877763</v>
      </c>
      <c r="F7" s="12">
        <f>SUM('Lease Credits'!$G$5:$G$11)</f>
        <v>4580368.0707481597</v>
      </c>
      <c r="G7" s="12">
        <f>E7+F7-Assumptions!$B$15</f>
        <v>4694911.660135936</v>
      </c>
      <c r="H7" s="13">
        <f>(E7+F7)/Assumptions!$B$15</f>
        <v>2.3414033314674101</v>
      </c>
      <c r="I7" s="14">
        <f>IRR(J7:Q7)</f>
        <v>0.18392353562857622</v>
      </c>
      <c r="J7" s="12">
        <f>-Assumptions!$B$15</f>
        <v>-3500000</v>
      </c>
      <c r="K7" s="12">
        <f>'Lease Credits'!G5</f>
        <v>564999.99999999988</v>
      </c>
      <c r="L7" s="12">
        <f>'Lease Credits'!G6</f>
        <v>593799.99999999988</v>
      </c>
      <c r="M7" s="12">
        <f>'Lease Credits'!G7</f>
        <v>623175.99999999988</v>
      </c>
      <c r="N7" s="12">
        <f>'Lease Credits'!G8</f>
        <v>653139.5199999999</v>
      </c>
      <c r="O7" s="12">
        <f>'Lease Credits'!G9</f>
        <v>683702.31039999996</v>
      </c>
      <c r="P7" s="12">
        <f>'Lease Credits'!G10</f>
        <v>714876.356608</v>
      </c>
      <c r="Q7" s="12">
        <f>'Lease Credits'!G11+E7</f>
        <v>4361217.473127936</v>
      </c>
    </row>
  </sheetData>
  <mergeCells count="2">
    <mergeCell ref="A1:Q1"/>
    <mergeCell ref="A2:Q2"/>
  </mergeCells>
  <conditionalFormatting sqref="I5:I7">
    <cfRule type="dataBar" priority="1">
      <dataBar>
        <cfvo type="min"/>
        <cfvo type="max"/>
        <color rgb="FF156082"/>
      </dataBar>
    </cfRule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{845CC9A7-69CC-5016-A1E5-E4E1AEE37A39}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CC9A7-69CC-5016-A1E5-E4E1AEE37A39}">
            <x14:dataBar>
              <x14:cfvo type="min"/>
              <x14:cfvo type="max"/>
              <x14:negativeFillColor auto="1"/>
              <x14:axisColor auto="1"/>
            </x14:dataBar>
          </x14:cfRule>
          <xm:sqref>I5:I7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"/>
  <sheetViews>
    <sheetView showGridLines="0" workbookViewId="0">
      <selection sqref="A1:I1"/>
    </sheetView>
  </sheetViews>
  <sheetFormatPr defaultRowHeight="13.8"/>
  <cols>
    <col min="1" max="1" width="14" customWidth="1"/>
    <col min="2" max="4" width="16" customWidth="1"/>
    <col min="5" max="7" width="18" customWidth="1"/>
    <col min="8" max="8" width="15" customWidth="1"/>
    <col min="9" max="9" width="14" customWidth="1"/>
    <col min="10" max="17" width="13" customWidth="1"/>
  </cols>
  <sheetData>
    <row r="1" spans="1:17" ht="19.2" customHeight="1">
      <c r="A1" s="19" t="s">
        <v>114</v>
      </c>
      <c r="B1" s="20"/>
      <c r="C1" s="20"/>
      <c r="D1" s="20"/>
      <c r="E1" s="20"/>
      <c r="F1" s="20"/>
      <c r="G1" s="20"/>
      <c r="H1" s="20"/>
      <c r="I1" s="20"/>
    </row>
    <row r="2" spans="1:17" ht="15" customHeight="1">
      <c r="A2" s="21" t="s">
        <v>115</v>
      </c>
      <c r="B2" s="20"/>
      <c r="C2" s="20"/>
      <c r="D2" s="20"/>
      <c r="E2" s="20"/>
      <c r="F2" s="20"/>
      <c r="G2" s="20"/>
      <c r="H2" s="20"/>
      <c r="I2" s="20"/>
    </row>
    <row r="4" spans="1:17" ht="15" customHeight="1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20</v>
      </c>
      <c r="H4" s="1" t="s">
        <v>21</v>
      </c>
      <c r="I4" s="1" t="s">
        <v>22</v>
      </c>
      <c r="J4" s="1" t="s">
        <v>106</v>
      </c>
      <c r="K4" s="1" t="s">
        <v>107</v>
      </c>
      <c r="L4" s="1" t="s">
        <v>108</v>
      </c>
      <c r="M4" s="1" t="s">
        <v>109</v>
      </c>
      <c r="N4" s="1" t="s">
        <v>110</v>
      </c>
      <c r="O4" s="1" t="s">
        <v>111</v>
      </c>
      <c r="P4" s="1" t="s">
        <v>112</v>
      </c>
      <c r="Q4" s="1" t="s">
        <v>113</v>
      </c>
    </row>
    <row r="5" spans="1:17" ht="15" customHeight="1">
      <c r="A5" s="11">
        <v>8.5000000000000006E-2</v>
      </c>
      <c r="B5" s="12">
        <f>'Lease Credits'!B11*(1+Assumptions!$B$9)</f>
        <v>1654107.3614149634</v>
      </c>
      <c r="C5" s="12">
        <f>B5/A5</f>
        <v>19460086.60488192</v>
      </c>
      <c r="D5" s="12">
        <f>Assumptions!$B$14</f>
        <v>12500000</v>
      </c>
      <c r="E5" s="12">
        <f>C5-D5</f>
        <v>6960086.6048819199</v>
      </c>
      <c r="F5" s="12">
        <f>SUM('Lease Credits'!$G$5:$G$11)</f>
        <v>4580368.0707481597</v>
      </c>
      <c r="G5" s="12">
        <f>E5+F5-Assumptions!$B$15</f>
        <v>8040454.6756300796</v>
      </c>
      <c r="H5" s="13">
        <f>(E5+F5)/Assumptions!$B$15</f>
        <v>3.2972727644657369</v>
      </c>
      <c r="I5" s="14">
        <f>IRR(J5:Q5)</f>
        <v>0.24604686090632533</v>
      </c>
      <c r="J5" s="12">
        <f>-Assumptions!$B$15</f>
        <v>-3500000</v>
      </c>
      <c r="K5" s="12">
        <f>'Lease Credits'!G5</f>
        <v>564999.99999999988</v>
      </c>
      <c r="L5" s="12">
        <f>'Lease Credits'!G6</f>
        <v>593799.99999999988</v>
      </c>
      <c r="M5" s="12">
        <f>'Lease Credits'!G7</f>
        <v>623175.99999999988</v>
      </c>
      <c r="N5" s="12">
        <f>'Lease Credits'!G8</f>
        <v>653139.5199999999</v>
      </c>
      <c r="O5" s="12">
        <f>'Lease Credits'!G9</f>
        <v>683702.31039999996</v>
      </c>
      <c r="P5" s="12">
        <f>'Lease Credits'!G10</f>
        <v>714876.356608</v>
      </c>
      <c r="Q5" s="12">
        <f>'Lease Credits'!G11+E5</f>
        <v>7706760.4886220796</v>
      </c>
    </row>
    <row r="6" spans="1:17" ht="15" customHeight="1">
      <c r="A6" s="11">
        <v>0.08</v>
      </c>
      <c r="B6" s="12">
        <f>'Lease Credits'!B11*(1+Assumptions!$B$9)</f>
        <v>1654107.3614149634</v>
      </c>
      <c r="C6" s="12">
        <f>B6/A6</f>
        <v>20676342.017687041</v>
      </c>
      <c r="D6" s="12">
        <f>Assumptions!$B$14</f>
        <v>12500000</v>
      </c>
      <c r="E6" s="12">
        <f>C6-D6</f>
        <v>8176342.0176870413</v>
      </c>
      <c r="F6" s="12">
        <f>SUM('Lease Credits'!$G$5:$G$11)</f>
        <v>4580368.0707481597</v>
      </c>
      <c r="G6" s="12">
        <f>E6+F6-Assumptions!$B$15</f>
        <v>9256710.088435201</v>
      </c>
      <c r="H6" s="13">
        <f>(E6+F6)/Assumptions!$B$15</f>
        <v>3.6447743109814859</v>
      </c>
      <c r="I6" s="14">
        <f>IRR(J6:Q6)</f>
        <v>0.2640896500492238</v>
      </c>
      <c r="J6" s="12">
        <f>-Assumptions!$B$15</f>
        <v>-3500000</v>
      </c>
      <c r="K6" s="12">
        <f>'Lease Credits'!G5</f>
        <v>564999.99999999988</v>
      </c>
      <c r="L6" s="12">
        <f>'Lease Credits'!G6</f>
        <v>593799.99999999988</v>
      </c>
      <c r="M6" s="12">
        <f>'Lease Credits'!G7</f>
        <v>623175.99999999988</v>
      </c>
      <c r="N6" s="12">
        <f>'Lease Credits'!G8</f>
        <v>653139.5199999999</v>
      </c>
      <c r="O6" s="12">
        <f>'Lease Credits'!G9</f>
        <v>683702.31039999996</v>
      </c>
      <c r="P6" s="12">
        <f>'Lease Credits'!G10</f>
        <v>714876.356608</v>
      </c>
      <c r="Q6" s="12">
        <f>'Lease Credits'!G11+E6</f>
        <v>8923015.9014272019</v>
      </c>
    </row>
    <row r="7" spans="1:17" ht="15" customHeight="1">
      <c r="A7" s="11">
        <v>7.4999999999999997E-2</v>
      </c>
      <c r="B7" s="12">
        <f>'Lease Credits'!B11*(1+Assumptions!$B$9)</f>
        <v>1654107.3614149634</v>
      </c>
      <c r="C7" s="12">
        <f>B7/A7</f>
        <v>22054764.818866178</v>
      </c>
      <c r="D7" s="12">
        <f>Assumptions!$B$14</f>
        <v>12500000</v>
      </c>
      <c r="E7" s="12">
        <f>C7-D7</f>
        <v>9554764.8188661784</v>
      </c>
      <c r="F7" s="12">
        <f>SUM('Lease Credits'!$G$5:$G$11)</f>
        <v>4580368.0707481597</v>
      </c>
      <c r="G7" s="12">
        <f>E7+F7-Assumptions!$B$15</f>
        <v>10635132.889614338</v>
      </c>
      <c r="H7" s="13">
        <f>(E7+F7)/Assumptions!$B$15</f>
        <v>4.0386093970326682</v>
      </c>
      <c r="I7" s="14">
        <f>IRR(J7:Q7)</f>
        <v>0.28258637477073245</v>
      </c>
      <c r="J7" s="12">
        <f>-Assumptions!$B$15</f>
        <v>-3500000</v>
      </c>
      <c r="K7" s="12">
        <f>'Lease Credits'!G5</f>
        <v>564999.99999999988</v>
      </c>
      <c r="L7" s="12">
        <f>'Lease Credits'!G6</f>
        <v>593799.99999999988</v>
      </c>
      <c r="M7" s="12">
        <f>'Lease Credits'!G7</f>
        <v>623175.99999999988</v>
      </c>
      <c r="N7" s="12">
        <f>'Lease Credits'!G8</f>
        <v>653139.5199999999</v>
      </c>
      <c r="O7" s="12">
        <f>'Lease Credits'!G9</f>
        <v>683702.31039999996</v>
      </c>
      <c r="P7" s="12">
        <f>'Lease Credits'!G10</f>
        <v>714876.356608</v>
      </c>
      <c r="Q7" s="12">
        <f>'Lease Credits'!G11+E7</f>
        <v>10301438.702606339</v>
      </c>
    </row>
  </sheetData>
  <mergeCells count="2">
    <mergeCell ref="A1:I1"/>
    <mergeCell ref="A2:I2"/>
  </mergeCells>
  <conditionalFormatting sqref="I5:I7">
    <cfRule type="dataBar" priority="1">
      <dataBar>
        <cfvo type="min"/>
        <cfvo type="max"/>
        <color rgb="FF156082"/>
      </dataBar>
    </cfRule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{339E2FB5-FB86-A5FA-34CF-BF4B095BA048}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E2FB5-FB86-A5FA-34CF-BF4B095BA048}">
            <x14:dataBar>
              <x14:cfvo type="min"/>
              <x14:cfvo type="max"/>
              <x14:negativeFillColor auto="1"/>
              <x14:axisColor auto="1"/>
            </x14:dataBar>
          </x14:cfRule>
          <xm:sqref>I5:I7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showGridLines="0" tabSelected="1" workbookViewId="0">
      <selection activeCell="C3" sqref="C1:D1048576"/>
    </sheetView>
  </sheetViews>
  <sheetFormatPr defaultRowHeight="13.8"/>
  <cols>
    <col min="1" max="1" width="22" customWidth="1"/>
    <col min="2" max="2" width="72.59765625" customWidth="1"/>
    <col min="3" max="3" width="51.19921875" bestFit="1" customWidth="1"/>
    <col min="4" max="4" width="31.19921875" bestFit="1" customWidth="1"/>
  </cols>
  <sheetData>
    <row r="1" spans="1:4" ht="19.2" customHeight="1">
      <c r="A1" s="19" t="s">
        <v>116</v>
      </c>
      <c r="B1" s="20"/>
      <c r="C1" s="20"/>
      <c r="D1" s="20"/>
    </row>
    <row r="2" spans="1:4" ht="15" customHeight="1">
      <c r="A2" s="21" t="s">
        <v>117</v>
      </c>
      <c r="B2" s="20"/>
      <c r="C2" s="20"/>
      <c r="D2" s="20"/>
    </row>
    <row r="4" spans="1:4" ht="15" customHeight="1">
      <c r="A4" s="1" t="s">
        <v>118</v>
      </c>
      <c r="B4" s="1" t="s">
        <v>119</v>
      </c>
      <c r="C4" s="1" t="s">
        <v>120</v>
      </c>
      <c r="D4" s="1" t="s">
        <v>121</v>
      </c>
    </row>
    <row r="5" spans="1:4" ht="15" customHeight="1">
      <c r="A5" s="2" t="s">
        <v>122</v>
      </c>
      <c r="B5" s="2" t="s">
        <v>123</v>
      </c>
      <c r="C5" s="2" t="s">
        <v>124</v>
      </c>
      <c r="D5" s="2" t="s">
        <v>125</v>
      </c>
    </row>
    <row r="6" spans="1:4" ht="26.4" customHeight="1">
      <c r="A6" s="2" t="s">
        <v>126</v>
      </c>
      <c r="B6" s="2" t="s">
        <v>127</v>
      </c>
      <c r="C6" s="2" t="s">
        <v>128</v>
      </c>
      <c r="D6" s="2" t="s">
        <v>129</v>
      </c>
    </row>
    <row r="7" spans="1:4" ht="22.8" customHeight="1">
      <c r="A7" s="2" t="s">
        <v>130</v>
      </c>
      <c r="B7" s="2" t="s">
        <v>131</v>
      </c>
      <c r="C7" s="2" t="s">
        <v>132</v>
      </c>
      <c r="D7" s="2" t="s">
        <v>133</v>
      </c>
    </row>
    <row r="8" spans="1:4" ht="26.4" customHeight="1">
      <c r="A8" s="2" t="s">
        <v>134</v>
      </c>
      <c r="B8" s="2" t="s">
        <v>135</v>
      </c>
      <c r="C8" s="2" t="s">
        <v>136</v>
      </c>
      <c r="D8" s="2" t="s">
        <v>137</v>
      </c>
    </row>
    <row r="9" spans="1:4" ht="24" customHeight="1">
      <c r="A9" s="2" t="s">
        <v>138</v>
      </c>
      <c r="B9" s="2" t="s">
        <v>139</v>
      </c>
      <c r="C9" s="2" t="s">
        <v>140</v>
      </c>
      <c r="D9" s="2" t="s">
        <v>141</v>
      </c>
    </row>
    <row r="10" spans="1:4" ht="25.8" customHeight="1">
      <c r="A10" s="2" t="s">
        <v>142</v>
      </c>
      <c r="B10" s="2" t="s">
        <v>143</v>
      </c>
      <c r="C10" s="2" t="s">
        <v>144</v>
      </c>
      <c r="D10" s="2" t="s">
        <v>145</v>
      </c>
    </row>
    <row r="11" spans="1:4" ht="26.4" customHeight="1">
      <c r="A11" s="2" t="s">
        <v>146</v>
      </c>
      <c r="B11" s="2" t="s">
        <v>147</v>
      </c>
      <c r="C11" s="2" t="s">
        <v>148</v>
      </c>
      <c r="D11" s="2" t="s">
        <v>149</v>
      </c>
    </row>
    <row r="12" spans="1:4" ht="26.4" customHeight="1">
      <c r="A12" s="2" t="s">
        <v>150</v>
      </c>
      <c r="B12" s="2" t="s">
        <v>151</v>
      </c>
      <c r="C12" s="2" t="s">
        <v>152</v>
      </c>
      <c r="D12" s="2" t="s">
        <v>153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Assumptions</vt:lpstr>
      <vt:lpstr>Lease Credits</vt:lpstr>
      <vt:lpstr>Purchase Options</vt:lpstr>
      <vt:lpstr>Outside Sale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Wyatt</dc:creator>
  <cp:lastModifiedBy>William Wyatt</cp:lastModifiedBy>
  <dcterms:created xsi:type="dcterms:W3CDTF">2026-06-30T15:21:05Z</dcterms:created>
  <dcterms:modified xsi:type="dcterms:W3CDTF">2026-06-30T15:21:05Z</dcterms:modified>
</cp:coreProperties>
</file>